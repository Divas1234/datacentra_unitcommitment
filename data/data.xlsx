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D:\GithubClonefiles\datacentra_unitcommitment\data\"/>
    </mc:Choice>
  </mc:AlternateContent>
  <xr:revisionPtr revIDLastSave="0" documentId="13_ncr:1_{9795628E-2995-41FD-B564-CBC60567BF62}" xr6:coauthVersionLast="47" xr6:coauthVersionMax="47" xr10:uidLastSave="{00000000-0000-0000-0000-000000000000}"/>
  <bookViews>
    <workbookView xWindow="6156" yWindow="2652" windowWidth="34560" windowHeight="18540" activeTab="8" xr2:uid="{00000000-000D-0000-FFFF-FFFF00000000}"/>
  </bookViews>
  <sheets>
    <sheet name="units_frequencyparam" sheetId="1" r:id="rId1"/>
    <sheet name="winds_frequencyparam" sheetId="2" r:id="rId2"/>
    <sheet name="strogesystem_data" sheetId="3" r:id="rId3"/>
    <sheet name="units_data" sheetId="4" r:id="rId4"/>
    <sheet name="units_cost" sheetId="5" r:id="rId5"/>
    <sheet name="branch_data" sheetId="6" r:id="rId6"/>
    <sheet name="load_curve" sheetId="7" r:id="rId7"/>
    <sheet name="load_data" sheetId="8" r:id="rId8"/>
    <sheet name="data_centr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2" i="9"/>
</calcChain>
</file>

<file path=xl/sharedStrings.xml><?xml version="1.0" encoding="utf-8"?>
<sst xmlns="http://schemas.openxmlformats.org/spreadsheetml/2006/main" count="65" uniqueCount="55">
  <si>
    <t>index</t>
  </si>
  <si>
    <t>locate_bus</t>
  </si>
  <si>
    <t>percent</t>
  </si>
  <si>
    <t>p</t>
  </si>
  <si>
    <t>from</t>
  </si>
  <si>
    <t>to</t>
  </si>
  <si>
    <t>x</t>
  </si>
  <si>
    <t>p_max</t>
  </si>
  <si>
    <t>Gens_c</t>
  </si>
  <si>
    <t>Gens_b</t>
  </si>
  <si>
    <t>Gens_a</t>
  </si>
  <si>
    <t>Gens_CD</t>
  </si>
  <si>
    <t>Gens_CU</t>
  </si>
  <si>
    <t>Gens_CU1</t>
  </si>
  <si>
    <t>Gens_Cold</t>
  </si>
  <si>
    <t>p_min</t>
  </si>
  <si>
    <t>Gens_RD</t>
  </si>
  <si>
    <t>Gens_RU</t>
  </si>
  <si>
    <t>Gens_SD</t>
  </si>
  <si>
    <t>Gens_SU</t>
  </si>
  <si>
    <t>Gens_TU</t>
  </si>
  <si>
    <t>Gens_TD</t>
  </si>
  <si>
    <t>Gens_x0</t>
  </si>
  <si>
    <t>Gens_t0</t>
  </si>
  <si>
    <t>Gens_p0</t>
  </si>
  <si>
    <t>q_max</t>
  </si>
  <si>
    <t>q_min</t>
  </si>
  <si>
    <t>pg_max</t>
  </si>
  <si>
    <t>pd_min</t>
  </si>
  <si>
    <t>p_0</t>
  </si>
  <si>
    <t>charge_rate</t>
  </si>
  <si>
    <t>discharge_rate</t>
  </si>
  <si>
    <t>charge_effi</t>
  </si>
  <si>
    <t>discharge_effi</t>
  </si>
  <si>
    <t>lossing_effi</t>
  </si>
  <si>
    <t>Fcmodel</t>
  </si>
  <si>
    <t>Kw</t>
  </si>
  <si>
    <t>Rw</t>
  </si>
  <si>
    <t>Mw</t>
  </si>
  <si>
    <t>Dw</t>
  </si>
  <si>
    <t>Tw</t>
  </si>
  <si>
    <t>Hg(3,9)</t>
  </si>
  <si>
    <t>Dg(0,0.02)</t>
  </si>
  <si>
    <t>Kg(0,1)</t>
  </si>
  <si>
    <t>Fg(0.15,0.4)</t>
  </si>
  <si>
    <t>Tg(6,14)</t>
  </si>
  <si>
    <t>Rg(0.04,0.1)</t>
  </si>
  <si>
    <t>p_max</t>
    <phoneticPr fontId="3" type="noConversion"/>
  </si>
  <si>
    <t>p_min</t>
    <phoneticPr fontId="3" type="noConversion"/>
  </si>
  <si>
    <t>locatebus</t>
    <phoneticPr fontId="3" type="noConversion"/>
  </si>
  <si>
    <t>voltage_regulation</t>
    <phoneticPr fontId="3" type="noConversion"/>
  </si>
  <si>
    <t>lambda</t>
    <phoneticPr fontId="3" type="noConversion"/>
  </si>
  <si>
    <t>mu</t>
    <phoneticPr fontId="3" type="noConversion"/>
  </si>
  <si>
    <t>idale</t>
    <phoneticPr fontId="3" type="noConversion"/>
  </si>
  <si>
    <t>sv_constant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</si>
</sst>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表5" displayName="表5" ref="A1:G4" totalsRowShown="0">
  <autoFilter ref="A1:G4" xr:uid="{00000000-0009-0000-0100-000008000000}"/>
  <tableColumns count="7">
    <tableColumn id="1" xr3:uid="{00000000-0010-0000-0000-000001000000}" name="index"/>
    <tableColumn id="2" xr3:uid="{00000000-0010-0000-0000-000002000000}" name="Hg(3,9)"/>
    <tableColumn id="3" xr3:uid="{00000000-0010-0000-0000-000003000000}" name="Dg(0,0.02)"/>
    <tableColumn id="4" xr3:uid="{00000000-0010-0000-0000-000004000000}" name="Kg(0,1)"/>
    <tableColumn id="5" xr3:uid="{00000000-0010-0000-0000-000005000000}" name="Fg(0.15,0.4)"/>
    <tableColumn id="6" xr3:uid="{00000000-0010-0000-0000-000006000000}" name="Tg(6,14)"/>
    <tableColumn id="7" xr3:uid="{00000000-0010-0000-0000-000007000000}" name="Rg(0.04,0.1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2" displayName="表2" ref="A1:F3" totalsRowShown="0">
  <autoFilter ref="A1:F3" xr:uid="{00000000-0009-0000-0100-000007000000}"/>
  <tableColumns count="6">
    <tableColumn id="1" xr3:uid="{00000000-0010-0000-0100-000001000000}" name="Fcmodel"/>
    <tableColumn id="2" xr3:uid="{00000000-0010-0000-0100-000002000000}" name="Kw"/>
    <tableColumn id="3" xr3:uid="{00000000-0010-0000-0100-000003000000}" name="Rw"/>
    <tableColumn id="4" xr3:uid="{00000000-0010-0000-0100-000004000000}" name="Mw"/>
    <tableColumn id="5" xr3:uid="{00000000-0010-0000-0100-000005000000}" name="Dw"/>
    <tableColumn id="6" xr3:uid="{00000000-0010-0000-0100-000006000000}" name="Tw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表3" displayName="表3" ref="A1:L2" totalsRowShown="0">
  <autoFilter ref="A1:L2" xr:uid="{00000000-0009-0000-0100-000006000000}"/>
  <tableColumns count="12">
    <tableColumn id="1" xr3:uid="{00000000-0010-0000-0200-000001000000}" name="index"/>
    <tableColumn id="2" xr3:uid="{00000000-0010-0000-0200-000002000000}" name="locate_bus"/>
    <tableColumn id="3" xr3:uid="{00000000-0010-0000-0200-000003000000}" name="q_max"/>
    <tableColumn id="4" xr3:uid="{00000000-0010-0000-0200-000004000000}" name="q_min"/>
    <tableColumn id="5" xr3:uid="{00000000-0010-0000-0200-000005000000}" name="pg_max"/>
    <tableColumn id="6" xr3:uid="{00000000-0010-0000-0200-000006000000}" name="pd_min"/>
    <tableColumn id="7" xr3:uid="{00000000-0010-0000-0200-000007000000}" name="p_0"/>
    <tableColumn id="8" xr3:uid="{00000000-0010-0000-0200-000008000000}" name="charge_rate"/>
    <tableColumn id="9" xr3:uid="{00000000-0010-0000-0200-000009000000}" name="discharge_rate"/>
    <tableColumn id="10" xr3:uid="{00000000-0010-0000-0200-00000A000000}" name="charge_effi"/>
    <tableColumn id="11" xr3:uid="{00000000-0010-0000-0200-00000B000000}" name="discharge_effi"/>
    <tableColumn id="12" xr3:uid="{00000000-0010-0000-0200-00000C000000}" name="lossing_effi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表6" displayName="表6" ref="A1:M4" totalsRowShown="0">
  <autoFilter ref="A1:M4" xr:uid="{00000000-0009-0000-0100-000005000000}"/>
  <tableColumns count="13">
    <tableColumn id="1" xr3:uid="{00000000-0010-0000-0300-000001000000}" name="index"/>
    <tableColumn id="2" xr3:uid="{00000000-0010-0000-0300-000002000000}" name="locate_bus"/>
    <tableColumn id="3" xr3:uid="{00000000-0010-0000-0300-000003000000}" name="p_max"/>
    <tableColumn id="4" xr3:uid="{00000000-0010-0000-0300-000004000000}" name="p_min"/>
    <tableColumn id="5" xr3:uid="{00000000-0010-0000-0300-000005000000}" name="Gens_RD"/>
    <tableColumn id="6" xr3:uid="{00000000-0010-0000-0300-000006000000}" name="Gens_RU"/>
    <tableColumn id="7" xr3:uid="{00000000-0010-0000-0300-000007000000}" name="Gens_SD"/>
    <tableColumn id="8" xr3:uid="{00000000-0010-0000-0300-000008000000}" name="Gens_SU"/>
    <tableColumn id="9" xr3:uid="{00000000-0010-0000-0300-000009000000}" name="Gens_TU"/>
    <tableColumn id="10" xr3:uid="{00000000-0010-0000-0300-00000A000000}" name="Gens_TD"/>
    <tableColumn id="11" xr3:uid="{00000000-0010-0000-0300-00000B000000}" name="Gens_x0"/>
    <tableColumn id="12" xr3:uid="{00000000-0010-0000-0300-00000C000000}" name="Gens_t0"/>
    <tableColumn id="13" xr3:uid="{00000000-0010-0000-0300-00000D000000}" name="Gens_p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表7" displayName="表7" ref="A1:H4" totalsRowShown="0">
  <autoFilter ref="A1:H4" xr:uid="{00000000-0009-0000-0100-000004000000}"/>
  <tableColumns count="8">
    <tableColumn id="1" xr3:uid="{00000000-0010-0000-0400-000001000000}" name="index"/>
    <tableColumn id="2" xr3:uid="{00000000-0010-0000-0400-000002000000}" name="Gens_c"/>
    <tableColumn id="3" xr3:uid="{00000000-0010-0000-0400-000003000000}" name="Gens_b"/>
    <tableColumn id="4" xr3:uid="{00000000-0010-0000-0400-000004000000}" name="Gens_a"/>
    <tableColumn id="5" xr3:uid="{00000000-0010-0000-0400-000005000000}" name="Gens_CD"/>
    <tableColumn id="6" xr3:uid="{00000000-0010-0000-0400-000006000000}" name="Gens_CU"/>
    <tableColumn id="7" xr3:uid="{00000000-0010-0000-0400-000007000000}" name="Gens_CU1"/>
    <tableColumn id="8" xr3:uid="{00000000-0010-0000-0400-000008000000}" name="Gens_Col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表10" displayName="表10" ref="A1:E8" totalsRowShown="0">
  <autoFilter ref="A1:E8" xr:uid="{00000000-0009-0000-0100-000003000000}"/>
  <tableColumns count="5">
    <tableColumn id="1" xr3:uid="{00000000-0010-0000-0500-000001000000}" name="index"/>
    <tableColumn id="2" xr3:uid="{00000000-0010-0000-0500-000002000000}" name="from"/>
    <tableColumn id="3" xr3:uid="{00000000-0010-0000-0500-000003000000}" name="to"/>
    <tableColumn id="4" xr3:uid="{00000000-0010-0000-0500-000004000000}" name="x"/>
    <tableColumn id="5" xr3:uid="{00000000-0010-0000-0500-000005000000}" name="p_max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表11" displayName="表11" ref="A1:B25" totalsRowShown="0">
  <autoFilter ref="A1:B25" xr:uid="{00000000-0009-0000-0100-000002000000}"/>
  <tableColumns count="2">
    <tableColumn id="1" xr3:uid="{00000000-0010-0000-0600-000001000000}" name="index"/>
    <tableColumn id="2" xr3:uid="{00000000-0010-0000-0600-000002000000}" name="p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表12" displayName="表12" ref="A1:C4" totalsRowShown="0">
  <autoFilter ref="A1:C4" xr:uid="{00000000-0009-0000-0100-000001000000}"/>
  <tableColumns count="3">
    <tableColumn id="1" xr3:uid="{00000000-0010-0000-0700-000001000000}" name="index"/>
    <tableColumn id="2" xr3:uid="{00000000-0010-0000-0700-000002000000}" name="locate_bus"/>
    <tableColumn id="3" xr3:uid="{00000000-0010-0000-0700-000003000000}" nam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/>
  </sheetViews>
  <sheetFormatPr defaultRowHeight="14.4" x14ac:dyDescent="0.25"/>
  <cols>
    <col min="1" max="1" width="13.5546875" style="3" bestFit="1" customWidth="1"/>
    <col min="2" max="2" width="8.5546875" style="4" bestFit="1" customWidth="1"/>
    <col min="3" max="3" width="10.88671875" style="4" bestFit="1" customWidth="1"/>
    <col min="4" max="4" width="8.33203125" style="4" bestFit="1" customWidth="1"/>
    <col min="5" max="5" width="11.88671875" style="4" bestFit="1" customWidth="1"/>
    <col min="6" max="6" width="9.33203125" style="3" bestFit="1" customWidth="1"/>
    <col min="7" max="7" width="12.109375" style="4" bestFit="1" customWidth="1"/>
  </cols>
  <sheetData>
    <row r="1" spans="1:7" ht="19.5" customHeight="1" x14ac:dyDescent="0.3">
      <c r="A1" s="1" t="s">
        <v>0</v>
      </c>
      <c r="B1" s="2" t="s">
        <v>41</v>
      </c>
      <c r="C1" s="2" t="s">
        <v>42</v>
      </c>
      <c r="D1" s="2" t="s">
        <v>43</v>
      </c>
      <c r="E1" s="2" t="s">
        <v>44</v>
      </c>
      <c r="F1" s="1" t="s">
        <v>45</v>
      </c>
      <c r="G1" s="2" t="s">
        <v>46</v>
      </c>
    </row>
    <row r="2" spans="1:7" ht="19.5" customHeight="1" x14ac:dyDescent="0.3">
      <c r="A2" s="1">
        <v>1</v>
      </c>
      <c r="B2" s="1">
        <v>7</v>
      </c>
      <c r="C2" s="2">
        <v>6.0999999999999999E-2</v>
      </c>
      <c r="D2" s="2">
        <v>0.9</v>
      </c>
      <c r="E2" s="2">
        <v>0.15</v>
      </c>
      <c r="F2" s="1">
        <v>8</v>
      </c>
      <c r="G2" s="2">
        <v>0.06</v>
      </c>
    </row>
    <row r="3" spans="1:7" ht="19.5" customHeight="1" x14ac:dyDescent="0.3">
      <c r="A3" s="1">
        <v>2</v>
      </c>
      <c r="B3" s="2">
        <v>5.5</v>
      </c>
      <c r="C3" s="2">
        <v>0.121</v>
      </c>
      <c r="D3" s="2">
        <v>0.95</v>
      </c>
      <c r="E3" s="2">
        <v>0.35</v>
      </c>
      <c r="F3" s="1">
        <v>7</v>
      </c>
      <c r="G3" s="2">
        <v>0.06</v>
      </c>
    </row>
    <row r="4" spans="1:7" ht="19.5" customHeight="1" x14ac:dyDescent="0.3">
      <c r="A4" s="1">
        <v>3</v>
      </c>
      <c r="B4" s="2">
        <v>3.5</v>
      </c>
      <c r="C4" s="2">
        <v>0.18099999999999999</v>
      </c>
      <c r="D4" s="2">
        <v>0.98</v>
      </c>
      <c r="E4" s="2">
        <v>0.25</v>
      </c>
      <c r="F4" s="1">
        <v>9</v>
      </c>
      <c r="G4" s="2">
        <v>0.06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3"/>
  <sheetViews>
    <sheetView workbookViewId="0"/>
  </sheetViews>
  <sheetFormatPr defaultRowHeight="14.4" x14ac:dyDescent="0.25"/>
  <cols>
    <col min="1" max="1" width="9.6640625" style="3" bestFit="1" customWidth="1"/>
    <col min="2" max="4" width="13.5546875" style="3" bestFit="1" customWidth="1"/>
    <col min="5" max="6" width="13.5546875" style="4" bestFit="1" customWidth="1"/>
  </cols>
  <sheetData>
    <row r="1" spans="1:6" ht="18.75" customHeight="1" x14ac:dyDescent="0.3">
      <c r="A1" s="1" t="s">
        <v>35</v>
      </c>
      <c r="B1" s="1" t="s">
        <v>36</v>
      </c>
      <c r="C1" s="1" t="s">
        <v>37</v>
      </c>
      <c r="D1" s="1" t="s">
        <v>38</v>
      </c>
      <c r="E1" s="2" t="s">
        <v>39</v>
      </c>
      <c r="F1" s="2" t="s">
        <v>40</v>
      </c>
    </row>
    <row r="2" spans="1:6" ht="18.75" customHeight="1" x14ac:dyDescent="0.3">
      <c r="A2" s="1">
        <v>0</v>
      </c>
      <c r="B2" s="2">
        <v>1</v>
      </c>
      <c r="C2" s="1">
        <v>7.0000000000000007E-2</v>
      </c>
      <c r="D2" s="1">
        <v>0</v>
      </c>
      <c r="E2" s="1">
        <v>0</v>
      </c>
      <c r="F2" s="2">
        <v>0.06</v>
      </c>
    </row>
    <row r="3" spans="1:6" ht="18.75" customHeight="1" x14ac:dyDescent="0.3">
      <c r="A3" s="1">
        <v>1</v>
      </c>
      <c r="B3" s="1">
        <v>0</v>
      </c>
      <c r="C3" s="1">
        <v>0</v>
      </c>
      <c r="D3" s="1">
        <v>3</v>
      </c>
      <c r="E3" s="2">
        <v>6.7000000000000004E-2</v>
      </c>
      <c r="F3" s="2">
        <v>0.06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2"/>
  <sheetViews>
    <sheetView workbookViewId="0">
      <selection activeCell="J49" sqref="J49"/>
    </sheetView>
  </sheetViews>
  <sheetFormatPr defaultRowHeight="14.4" x14ac:dyDescent="0.25"/>
  <cols>
    <col min="1" max="3" width="13.5546875" style="3" bestFit="1" customWidth="1"/>
    <col min="4" max="4" width="8.5546875" style="3" bestFit="1" customWidth="1"/>
    <col min="5" max="5" width="10.109375" style="3" bestFit="1" customWidth="1"/>
    <col min="6" max="6" width="9.6640625" style="3" bestFit="1" customWidth="1"/>
    <col min="7" max="7" width="6.44140625" style="3" bestFit="1" customWidth="1"/>
    <col min="8" max="9" width="13.5546875" style="3" bestFit="1" customWidth="1"/>
    <col min="10" max="10" width="11.5546875" style="4" bestFit="1" customWidth="1"/>
    <col min="11" max="11" width="13.6640625" style="3" bestFit="1" customWidth="1"/>
    <col min="12" max="12" width="13" style="4" bestFit="1" customWidth="1"/>
  </cols>
  <sheetData>
    <row r="1" spans="1:12" ht="19.5" customHeight="1" x14ac:dyDescent="0.3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2" t="s">
        <v>32</v>
      </c>
      <c r="K1" s="1" t="s">
        <v>33</v>
      </c>
      <c r="L1" s="2" t="s">
        <v>34</v>
      </c>
    </row>
    <row r="2" spans="1:12" ht="19.5" customHeight="1" x14ac:dyDescent="0.3">
      <c r="A2" s="1">
        <v>1</v>
      </c>
      <c r="B2" s="1">
        <v>1</v>
      </c>
      <c r="C2" s="1">
        <v>100</v>
      </c>
      <c r="D2" s="1">
        <v>10</v>
      </c>
      <c r="E2" s="1">
        <v>100</v>
      </c>
      <c r="F2" s="1">
        <v>10</v>
      </c>
      <c r="G2" s="1">
        <v>20</v>
      </c>
      <c r="H2" s="1">
        <v>60</v>
      </c>
      <c r="I2" s="1">
        <v>60</v>
      </c>
      <c r="J2" s="2">
        <v>0.85</v>
      </c>
      <c r="K2" s="1">
        <v>1</v>
      </c>
      <c r="L2" s="2">
        <v>0.05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4"/>
  <sheetViews>
    <sheetView workbookViewId="0">
      <selection sqref="A1:B1"/>
    </sheetView>
  </sheetViews>
  <sheetFormatPr defaultRowHeight="14.4" x14ac:dyDescent="0.25"/>
  <cols>
    <col min="1" max="1" width="13.5546875" style="3" bestFit="1" customWidth="1"/>
    <col min="2" max="2" width="12.44140625" style="3" bestFit="1" customWidth="1"/>
    <col min="3" max="4" width="13.5546875" style="3" bestFit="1" customWidth="1"/>
    <col min="5" max="6" width="9.88671875" style="3" bestFit="1" customWidth="1"/>
    <col min="7" max="10" width="9.6640625" style="3" bestFit="1" customWidth="1"/>
    <col min="11" max="11" width="9.44140625" style="3" bestFit="1" customWidth="1"/>
    <col min="12" max="12" width="9.109375" style="3" bestFit="1" customWidth="1"/>
    <col min="13" max="13" width="9.5546875" style="3" bestFit="1" customWidth="1"/>
  </cols>
  <sheetData>
    <row r="1" spans="1:13" ht="19.5" customHeight="1" x14ac:dyDescent="0.3">
      <c r="A1" s="1" t="s">
        <v>0</v>
      </c>
      <c r="B1" s="1" t="s">
        <v>1</v>
      </c>
      <c r="C1" s="1" t="s">
        <v>7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ht="19.5" customHeight="1" x14ac:dyDescent="0.3">
      <c r="A2" s="1">
        <v>1</v>
      </c>
      <c r="B2" s="1">
        <v>1</v>
      </c>
      <c r="C2" s="1">
        <v>220</v>
      </c>
      <c r="D2" s="1">
        <v>90</v>
      </c>
      <c r="E2" s="1">
        <v>50</v>
      </c>
      <c r="F2" s="1">
        <v>50</v>
      </c>
      <c r="G2" s="1">
        <v>90</v>
      </c>
      <c r="H2" s="1">
        <v>90</v>
      </c>
      <c r="I2" s="1">
        <v>4</v>
      </c>
      <c r="J2" s="1">
        <v>4</v>
      </c>
      <c r="K2" s="1">
        <v>1</v>
      </c>
      <c r="L2" s="1">
        <v>4</v>
      </c>
      <c r="M2" s="1">
        <v>150</v>
      </c>
    </row>
    <row r="3" spans="1:13" ht="19.5" customHeight="1" x14ac:dyDescent="0.3">
      <c r="A3" s="1">
        <v>2</v>
      </c>
      <c r="B3" s="1">
        <v>2</v>
      </c>
      <c r="C3" s="1">
        <v>100</v>
      </c>
      <c r="D3" s="1">
        <v>10</v>
      </c>
      <c r="E3" s="1">
        <v>40</v>
      </c>
      <c r="F3" s="1">
        <v>40</v>
      </c>
      <c r="G3" s="1">
        <v>10</v>
      </c>
      <c r="H3" s="1">
        <v>10</v>
      </c>
      <c r="I3" s="1">
        <v>2</v>
      </c>
      <c r="J3" s="1">
        <v>3</v>
      </c>
      <c r="K3" s="1">
        <v>0</v>
      </c>
      <c r="L3" s="1">
        <v>3</v>
      </c>
      <c r="M3" s="1">
        <v>0</v>
      </c>
    </row>
    <row r="4" spans="1:13" ht="19.5" customHeight="1" x14ac:dyDescent="0.3">
      <c r="A4" s="1">
        <v>3</v>
      </c>
      <c r="B4" s="1">
        <v>6</v>
      </c>
      <c r="C4" s="1">
        <v>20</v>
      </c>
      <c r="D4" s="1">
        <v>10</v>
      </c>
      <c r="E4" s="1">
        <v>40</v>
      </c>
      <c r="F4" s="1">
        <v>40</v>
      </c>
      <c r="G4" s="1">
        <v>10</v>
      </c>
      <c r="H4" s="1">
        <v>10</v>
      </c>
      <c r="I4" s="1">
        <v>2</v>
      </c>
      <c r="J4" s="1">
        <v>3</v>
      </c>
      <c r="K4" s="1">
        <v>0</v>
      </c>
      <c r="L4" s="1">
        <v>3</v>
      </c>
      <c r="M4" s="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4"/>
  <sheetViews>
    <sheetView workbookViewId="0"/>
  </sheetViews>
  <sheetFormatPr defaultRowHeight="14.4" x14ac:dyDescent="0.25"/>
  <cols>
    <col min="1" max="1" width="13.5546875" style="3" bestFit="1" customWidth="1"/>
    <col min="2" max="4" width="13.5546875" style="4" bestFit="1" customWidth="1"/>
    <col min="5" max="6" width="9.88671875" style="3" bestFit="1" customWidth="1"/>
    <col min="7" max="7" width="10.88671875" style="3" bestFit="1" customWidth="1"/>
    <col min="8" max="8" width="11.33203125" style="3" bestFit="1" customWidth="1"/>
  </cols>
  <sheetData>
    <row r="1" spans="1:8" ht="18.75" customHeight="1" x14ac:dyDescent="0.3">
      <c r="A1" s="1" t="s">
        <v>0</v>
      </c>
      <c r="B1" s="2" t="s">
        <v>8</v>
      </c>
      <c r="C1" s="2" t="s">
        <v>9</v>
      </c>
      <c r="D1" s="2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ht="18.75" customHeight="1" x14ac:dyDescent="0.3">
      <c r="A2" s="1">
        <v>1</v>
      </c>
      <c r="B2" s="2">
        <v>176.9</v>
      </c>
      <c r="C2" s="2">
        <v>13.5</v>
      </c>
      <c r="D2" s="2">
        <v>4.0000000000000002E-4</v>
      </c>
      <c r="E2" s="1">
        <v>560</v>
      </c>
      <c r="F2" s="1">
        <v>560</v>
      </c>
      <c r="G2" s="1">
        <v>1120</v>
      </c>
      <c r="H2" s="1">
        <v>10</v>
      </c>
    </row>
    <row r="3" spans="1:8" ht="18.75" customHeight="1" x14ac:dyDescent="0.3">
      <c r="A3" s="1">
        <v>2</v>
      </c>
      <c r="B3" s="2">
        <v>129.9</v>
      </c>
      <c r="C3" s="2">
        <v>32.6</v>
      </c>
      <c r="D3" s="2">
        <v>1E-3</v>
      </c>
      <c r="E3" s="1">
        <v>350</v>
      </c>
      <c r="F3" s="1">
        <v>350</v>
      </c>
      <c r="G3" s="1">
        <v>750</v>
      </c>
      <c r="H3" s="1">
        <v>8</v>
      </c>
    </row>
    <row r="4" spans="1:8" ht="18.75" customHeight="1" x14ac:dyDescent="0.3">
      <c r="A4" s="1">
        <v>6</v>
      </c>
      <c r="B4" s="2">
        <v>137.4</v>
      </c>
      <c r="C4" s="2">
        <v>17.600000000000001</v>
      </c>
      <c r="D4" s="2">
        <v>5.0000000000000001E-3</v>
      </c>
      <c r="E4" s="1">
        <v>260</v>
      </c>
      <c r="F4" s="1">
        <v>260</v>
      </c>
      <c r="G4" s="1">
        <v>520</v>
      </c>
      <c r="H4" s="1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E8"/>
  <sheetViews>
    <sheetView workbookViewId="0"/>
  </sheetViews>
  <sheetFormatPr defaultRowHeight="14.4" x14ac:dyDescent="0.25"/>
  <cols>
    <col min="1" max="1" width="8.33203125" style="3" bestFit="1" customWidth="1"/>
    <col min="2" max="3" width="13.5546875" style="3" bestFit="1" customWidth="1"/>
    <col min="4" max="4" width="13.5546875" style="4" bestFit="1" customWidth="1"/>
    <col min="5" max="5" width="13.5546875" style="3" bestFit="1" customWidth="1"/>
  </cols>
  <sheetData>
    <row r="1" spans="1:5" ht="18.75" customHeight="1" x14ac:dyDescent="0.3">
      <c r="A1" s="1" t="s">
        <v>0</v>
      </c>
      <c r="B1" s="1" t="s">
        <v>4</v>
      </c>
      <c r="C1" s="1" t="s">
        <v>5</v>
      </c>
      <c r="D1" s="2" t="s">
        <v>6</v>
      </c>
      <c r="E1" s="1" t="s">
        <v>7</v>
      </c>
    </row>
    <row r="2" spans="1:5" ht="18.75" customHeight="1" x14ac:dyDescent="0.3">
      <c r="A2" s="1">
        <v>1</v>
      </c>
      <c r="B2" s="1">
        <v>1</v>
      </c>
      <c r="C2" s="1">
        <v>2</v>
      </c>
      <c r="D2" s="2">
        <v>0.17</v>
      </c>
      <c r="E2" s="1">
        <v>200</v>
      </c>
    </row>
    <row r="3" spans="1:5" ht="18.75" customHeight="1" x14ac:dyDescent="0.3">
      <c r="A3" s="1">
        <v>2</v>
      </c>
      <c r="B3" s="1">
        <v>1</v>
      </c>
      <c r="C3" s="1">
        <v>4</v>
      </c>
      <c r="D3" s="2">
        <v>0.25800000000000001</v>
      </c>
      <c r="E3" s="1">
        <v>120</v>
      </c>
    </row>
    <row r="4" spans="1:5" ht="18.75" customHeight="1" x14ac:dyDescent="0.3">
      <c r="A4" s="1">
        <v>3</v>
      </c>
      <c r="B4" s="1">
        <v>2</v>
      </c>
      <c r="C4" s="1">
        <v>4</v>
      </c>
      <c r="D4" s="2">
        <v>0.19700000000000001</v>
      </c>
      <c r="E4" s="1">
        <v>120</v>
      </c>
    </row>
    <row r="5" spans="1:5" ht="18.75" customHeight="1" x14ac:dyDescent="0.3">
      <c r="A5" s="1">
        <v>4</v>
      </c>
      <c r="B5" s="1">
        <v>5</v>
      </c>
      <c r="C5" s="1">
        <v>6</v>
      </c>
      <c r="D5" s="2">
        <v>0.14000000000000001</v>
      </c>
      <c r="E5" s="1">
        <v>120</v>
      </c>
    </row>
    <row r="6" spans="1:5" ht="18.75" customHeight="1" x14ac:dyDescent="0.3">
      <c r="A6" s="1">
        <v>5</v>
      </c>
      <c r="B6" s="1">
        <v>3</v>
      </c>
      <c r="C6" s="1">
        <v>6</v>
      </c>
      <c r="D6" s="2">
        <v>1.7999999999999999E-2</v>
      </c>
      <c r="E6" s="1">
        <v>120</v>
      </c>
    </row>
    <row r="7" spans="1:5" ht="18.75" customHeight="1" x14ac:dyDescent="0.3">
      <c r="A7" s="1">
        <v>6</v>
      </c>
      <c r="B7" s="1">
        <v>2</v>
      </c>
      <c r="C7" s="1">
        <v>3</v>
      </c>
      <c r="D7" s="2">
        <v>3.6999999999999998E-2</v>
      </c>
      <c r="E7" s="1">
        <v>200</v>
      </c>
    </row>
    <row r="8" spans="1:5" ht="18.75" customHeight="1" x14ac:dyDescent="0.3">
      <c r="A8" s="1">
        <v>7</v>
      </c>
      <c r="B8" s="1">
        <v>4</v>
      </c>
      <c r="C8" s="1">
        <v>5</v>
      </c>
      <c r="D8" s="2">
        <v>3.6999999999999998E-2</v>
      </c>
      <c r="E8" s="1">
        <v>120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25"/>
  <sheetViews>
    <sheetView workbookViewId="0">
      <selection activeCell="B25" sqref="B2:B25"/>
    </sheetView>
  </sheetViews>
  <sheetFormatPr defaultRowHeight="14.4" x14ac:dyDescent="0.25"/>
  <cols>
    <col min="1" max="1" width="13.5546875" style="3" bestFit="1" customWidth="1"/>
    <col min="2" max="2" width="13.5546875" style="4" bestFit="1" customWidth="1"/>
  </cols>
  <sheetData>
    <row r="1" spans="1:2" ht="18.75" customHeight="1" x14ac:dyDescent="0.3">
      <c r="A1" s="1" t="s">
        <v>0</v>
      </c>
      <c r="B1" s="2" t="s">
        <v>3</v>
      </c>
    </row>
    <row r="2" spans="1:2" ht="18.75" customHeight="1" x14ac:dyDescent="0.3">
      <c r="A2" s="1">
        <v>1</v>
      </c>
      <c r="B2" s="2">
        <v>219.19</v>
      </c>
    </row>
    <row r="3" spans="1:2" ht="18.75" customHeight="1" x14ac:dyDescent="0.3">
      <c r="A3" s="1">
        <v>2</v>
      </c>
      <c r="B3" s="2">
        <v>235.35</v>
      </c>
    </row>
    <row r="4" spans="1:2" ht="18.75" customHeight="1" x14ac:dyDescent="0.3">
      <c r="A4" s="1">
        <v>3</v>
      </c>
      <c r="B4" s="2">
        <v>234.67</v>
      </c>
    </row>
    <row r="5" spans="1:2" ht="18.75" customHeight="1" x14ac:dyDescent="0.3">
      <c r="A5" s="1">
        <v>4</v>
      </c>
      <c r="B5" s="2">
        <v>236.73</v>
      </c>
    </row>
    <row r="6" spans="1:2" ht="18.75" customHeight="1" x14ac:dyDescent="0.3">
      <c r="A6" s="1">
        <v>5</v>
      </c>
      <c r="B6" s="2">
        <v>239.06</v>
      </c>
    </row>
    <row r="7" spans="1:2" ht="18.75" customHeight="1" x14ac:dyDescent="0.3">
      <c r="A7" s="1">
        <v>6</v>
      </c>
      <c r="B7" s="2">
        <v>244.48</v>
      </c>
    </row>
    <row r="8" spans="1:2" ht="18.75" customHeight="1" x14ac:dyDescent="0.3">
      <c r="A8" s="1">
        <v>7</v>
      </c>
      <c r="B8" s="2">
        <v>273.39</v>
      </c>
    </row>
    <row r="9" spans="1:2" ht="18.75" customHeight="1" x14ac:dyDescent="0.3">
      <c r="A9" s="1">
        <v>8</v>
      </c>
      <c r="B9" s="2">
        <v>290.39999999999998</v>
      </c>
    </row>
    <row r="10" spans="1:2" ht="18.75" customHeight="1" x14ac:dyDescent="0.3">
      <c r="A10" s="1">
        <v>9</v>
      </c>
      <c r="B10" s="2">
        <v>283.56</v>
      </c>
    </row>
    <row r="11" spans="1:2" ht="18.75" customHeight="1" x14ac:dyDescent="0.3">
      <c r="A11" s="1">
        <v>10</v>
      </c>
      <c r="B11" s="2">
        <v>281.2</v>
      </c>
    </row>
    <row r="12" spans="1:2" ht="18.75" customHeight="1" x14ac:dyDescent="0.3">
      <c r="A12" s="1">
        <v>11</v>
      </c>
      <c r="B12" s="2">
        <v>328.61</v>
      </c>
    </row>
    <row r="13" spans="1:2" ht="18.75" customHeight="1" x14ac:dyDescent="0.3">
      <c r="A13" s="1">
        <v>12</v>
      </c>
      <c r="B13" s="2">
        <v>328.1</v>
      </c>
    </row>
    <row r="14" spans="1:2" ht="18.75" customHeight="1" x14ac:dyDescent="0.3">
      <c r="A14" s="1">
        <v>13</v>
      </c>
      <c r="B14" s="2">
        <v>326.18</v>
      </c>
    </row>
    <row r="15" spans="1:2" ht="18.75" customHeight="1" x14ac:dyDescent="0.3">
      <c r="A15" s="1">
        <v>14</v>
      </c>
      <c r="B15" s="2">
        <v>323.60000000000002</v>
      </c>
    </row>
    <row r="16" spans="1:2" ht="18.75" customHeight="1" x14ac:dyDescent="0.3">
      <c r="A16" s="1">
        <v>15</v>
      </c>
      <c r="B16" s="2">
        <v>326.86</v>
      </c>
    </row>
    <row r="17" spans="1:2" ht="18.75" customHeight="1" x14ac:dyDescent="0.3">
      <c r="A17" s="1">
        <v>16</v>
      </c>
      <c r="B17" s="2">
        <v>287.79000000000002</v>
      </c>
    </row>
    <row r="18" spans="1:2" ht="18.75" customHeight="1" x14ac:dyDescent="0.3">
      <c r="A18" s="1">
        <v>17</v>
      </c>
      <c r="B18" s="1">
        <v>260</v>
      </c>
    </row>
    <row r="19" spans="1:2" ht="18.75" customHeight="1" x14ac:dyDescent="0.3">
      <c r="A19" s="1">
        <v>18</v>
      </c>
      <c r="B19" s="2">
        <v>246.74</v>
      </c>
    </row>
    <row r="20" spans="1:2" ht="18.75" customHeight="1" x14ac:dyDescent="0.3">
      <c r="A20" s="1">
        <v>19</v>
      </c>
      <c r="B20" s="2">
        <v>255.97</v>
      </c>
    </row>
    <row r="21" spans="1:2" ht="18.75" customHeight="1" x14ac:dyDescent="0.3">
      <c r="A21" s="1">
        <v>20</v>
      </c>
      <c r="B21" s="2">
        <v>237.35</v>
      </c>
    </row>
    <row r="22" spans="1:2" ht="18.75" customHeight="1" x14ac:dyDescent="0.3">
      <c r="A22" s="1">
        <v>21</v>
      </c>
      <c r="B22" s="2">
        <v>243.31</v>
      </c>
    </row>
    <row r="23" spans="1:2" ht="18.75" customHeight="1" x14ac:dyDescent="0.3">
      <c r="A23" s="1">
        <v>22</v>
      </c>
      <c r="B23" s="2">
        <v>283.14</v>
      </c>
    </row>
    <row r="24" spans="1:2" ht="18.75" customHeight="1" x14ac:dyDescent="0.3">
      <c r="A24" s="1">
        <v>23</v>
      </c>
      <c r="B24" s="2">
        <v>283.05</v>
      </c>
    </row>
    <row r="25" spans="1:2" ht="18.75" customHeight="1" x14ac:dyDescent="0.3">
      <c r="A25" s="1">
        <v>24</v>
      </c>
      <c r="B25" s="2">
        <v>248.75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C4"/>
  <sheetViews>
    <sheetView workbookViewId="0">
      <selection activeCell="I40" sqref="I40"/>
    </sheetView>
  </sheetViews>
  <sheetFormatPr defaultRowHeight="14.4" x14ac:dyDescent="0.25"/>
  <cols>
    <col min="1" max="1" width="13.5546875" style="3" bestFit="1" customWidth="1"/>
    <col min="2" max="2" width="12.44140625" style="3" bestFit="1" customWidth="1"/>
    <col min="3" max="3" width="13.5546875" style="4" bestFit="1" customWidth="1"/>
  </cols>
  <sheetData>
    <row r="1" spans="1:3" ht="18.75" customHeight="1" x14ac:dyDescent="0.3">
      <c r="A1" s="1" t="s">
        <v>0</v>
      </c>
      <c r="B1" s="1" t="s">
        <v>1</v>
      </c>
      <c r="C1" s="2" t="s">
        <v>2</v>
      </c>
    </row>
    <row r="2" spans="1:3" ht="18.75" customHeight="1" x14ac:dyDescent="0.3">
      <c r="A2" s="1">
        <v>1</v>
      </c>
      <c r="B2" s="1">
        <v>3</v>
      </c>
      <c r="C2" s="2">
        <v>0.2</v>
      </c>
    </row>
    <row r="3" spans="1:3" ht="18.75" customHeight="1" x14ac:dyDescent="0.3">
      <c r="A3" s="1">
        <v>2</v>
      </c>
      <c r="B3" s="1">
        <v>4</v>
      </c>
      <c r="C3" s="2">
        <v>0.4</v>
      </c>
    </row>
    <row r="4" spans="1:3" ht="18.75" customHeight="1" x14ac:dyDescent="0.3">
      <c r="A4" s="1">
        <v>3</v>
      </c>
      <c r="B4" s="1">
        <v>5</v>
      </c>
      <c r="C4" s="2">
        <v>0.4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AA48-EAC4-44C8-A371-1C9C338278CF}">
  <dimension ref="A1:I9"/>
  <sheetViews>
    <sheetView tabSelected="1" workbookViewId="0">
      <selection activeCell="H7" sqref="H7"/>
    </sheetView>
  </sheetViews>
  <sheetFormatPr defaultRowHeight="14.4" x14ac:dyDescent="0.25"/>
  <cols>
    <col min="1" max="1" width="7.77734375" customWidth="1"/>
    <col min="2" max="2" width="10.33203125" customWidth="1"/>
    <col min="5" max="5" width="19.33203125" customWidth="1"/>
    <col min="7" max="7" width="14.109375" customWidth="1"/>
  </cols>
  <sheetData>
    <row r="1" spans="1:9" ht="15" x14ac:dyDescent="0.3">
      <c r="A1" s="5" t="s">
        <v>0</v>
      </c>
      <c r="B1" s="5" t="s">
        <v>49</v>
      </c>
      <c r="C1" s="5" t="s">
        <v>47</v>
      </c>
      <c r="D1" s="5" t="s">
        <v>48</v>
      </c>
      <c r="E1" s="6" t="s">
        <v>50</v>
      </c>
      <c r="F1" s="6" t="s">
        <v>53</v>
      </c>
      <c r="G1" s="6" t="s">
        <v>54</v>
      </c>
      <c r="H1" s="6" t="s">
        <v>51</v>
      </c>
      <c r="I1" s="6" t="s">
        <v>52</v>
      </c>
    </row>
    <row r="2" spans="1:9" x14ac:dyDescent="0.25">
      <c r="A2">
        <v>1</v>
      </c>
      <c r="B2">
        <v>1</v>
      </c>
      <c r="C2">
        <v>0.5</v>
      </c>
      <c r="D2">
        <f>C2*0.2</f>
        <v>0.1</v>
      </c>
      <c r="E2">
        <v>1</v>
      </c>
      <c r="F2">
        <v>0.05</v>
      </c>
      <c r="G2">
        <v>0.3</v>
      </c>
      <c r="H2">
        <v>0.5</v>
      </c>
      <c r="I2">
        <v>1</v>
      </c>
    </row>
    <row r="3" spans="1:9" x14ac:dyDescent="0.25">
      <c r="A3">
        <v>2</v>
      </c>
      <c r="B3">
        <v>2</v>
      </c>
      <c r="C3">
        <v>0.8</v>
      </c>
      <c r="D3">
        <f t="shared" ref="D3:D9" si="0">C3*0.2</f>
        <v>0.16000000000000003</v>
      </c>
      <c r="E3">
        <v>1</v>
      </c>
      <c r="F3">
        <v>0.05</v>
      </c>
      <c r="G3">
        <v>0.3</v>
      </c>
      <c r="H3">
        <v>0.75</v>
      </c>
      <c r="I3">
        <v>1</v>
      </c>
    </row>
    <row r="4" spans="1:9" x14ac:dyDescent="0.25">
      <c r="A4">
        <v>3</v>
      </c>
      <c r="B4">
        <v>6</v>
      </c>
      <c r="C4">
        <v>0.4</v>
      </c>
      <c r="D4">
        <f t="shared" si="0"/>
        <v>8.0000000000000016E-2</v>
      </c>
      <c r="E4">
        <v>1</v>
      </c>
      <c r="F4">
        <v>0.05</v>
      </c>
      <c r="G4">
        <v>0.3</v>
      </c>
      <c r="H4">
        <v>0.8</v>
      </c>
      <c r="I4">
        <v>1</v>
      </c>
    </row>
    <row r="5" spans="1:9" x14ac:dyDescent="0.25">
      <c r="A5">
        <v>4</v>
      </c>
      <c r="B5">
        <v>2</v>
      </c>
      <c r="C5">
        <v>0.6</v>
      </c>
      <c r="D5">
        <f t="shared" si="0"/>
        <v>0.12</v>
      </c>
      <c r="E5">
        <v>1</v>
      </c>
      <c r="F5">
        <v>0.05</v>
      </c>
      <c r="G5">
        <v>0.3</v>
      </c>
      <c r="H5">
        <v>0.3</v>
      </c>
      <c r="I5">
        <v>1</v>
      </c>
    </row>
    <row r="6" spans="1:9" x14ac:dyDescent="0.25">
      <c r="A6">
        <v>5</v>
      </c>
      <c r="B6">
        <v>6</v>
      </c>
      <c r="C6">
        <v>0.5</v>
      </c>
      <c r="D6">
        <f t="shared" si="0"/>
        <v>0.1</v>
      </c>
      <c r="E6">
        <v>1</v>
      </c>
      <c r="F6">
        <v>0.05</v>
      </c>
      <c r="G6">
        <v>0.3</v>
      </c>
      <c r="H6">
        <v>0.4</v>
      </c>
      <c r="I6">
        <v>1</v>
      </c>
    </row>
    <row r="7" spans="1:9" x14ac:dyDescent="0.25">
      <c r="A7">
        <v>6</v>
      </c>
      <c r="B7">
        <v>2</v>
      </c>
      <c r="C7">
        <v>0.7</v>
      </c>
      <c r="D7">
        <f t="shared" si="0"/>
        <v>0.13999999999999999</v>
      </c>
      <c r="E7">
        <v>1</v>
      </c>
      <c r="F7">
        <v>0.05</v>
      </c>
      <c r="G7">
        <v>0.3</v>
      </c>
      <c r="H7">
        <v>0.4</v>
      </c>
      <c r="I7">
        <v>1</v>
      </c>
    </row>
    <row r="8" spans="1:9" x14ac:dyDescent="0.25">
      <c r="A8">
        <v>7</v>
      </c>
      <c r="B8">
        <v>2</v>
      </c>
      <c r="C8">
        <v>0.8</v>
      </c>
      <c r="D8">
        <f t="shared" si="0"/>
        <v>0.16000000000000003</v>
      </c>
      <c r="E8">
        <v>1</v>
      </c>
      <c r="F8">
        <v>0.05</v>
      </c>
      <c r="G8">
        <v>0.3</v>
      </c>
      <c r="H8">
        <v>0.6</v>
      </c>
      <c r="I8">
        <v>1</v>
      </c>
    </row>
    <row r="9" spans="1:9" x14ac:dyDescent="0.25">
      <c r="A9">
        <v>8</v>
      </c>
      <c r="B9">
        <v>1</v>
      </c>
      <c r="C9">
        <v>0.5</v>
      </c>
      <c r="D9">
        <f t="shared" si="0"/>
        <v>0.1</v>
      </c>
      <c r="E9">
        <v>1</v>
      </c>
      <c r="F9">
        <v>0.05</v>
      </c>
      <c r="G9">
        <v>0.3</v>
      </c>
      <c r="H9">
        <v>0.2</v>
      </c>
      <c r="I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units_frequencyparam</vt:lpstr>
      <vt:lpstr>winds_frequencyparam</vt:lpstr>
      <vt:lpstr>strogesystem_data</vt:lpstr>
      <vt:lpstr>units_data</vt:lpstr>
      <vt:lpstr>units_cost</vt:lpstr>
      <vt:lpstr>branch_data</vt:lpstr>
      <vt:lpstr>load_curve</vt:lpstr>
      <vt:lpstr>load_data</vt:lpstr>
      <vt:lpstr>data_centra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Yuan Yiping</cp:lastModifiedBy>
  <dcterms:created xsi:type="dcterms:W3CDTF">2023-08-11T14:53:08Z</dcterms:created>
  <dcterms:modified xsi:type="dcterms:W3CDTF">2025-06-04T12:17:51Z</dcterms:modified>
</cp:coreProperties>
</file>